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ashboard\"/>
    </mc:Choice>
  </mc:AlternateContent>
  <xr:revisionPtr revIDLastSave="0" documentId="13_ncr:1_{321439D9-CDD6-441D-952A-62848255DBF3}" xr6:coauthVersionLast="36" xr6:coauthVersionMax="47" xr10:uidLastSave="{00000000-0000-0000-0000-000000000000}"/>
  <bookViews>
    <workbookView xWindow="-108" yWindow="-108" windowWidth="19428" windowHeight="11508" xr2:uid="{00000000-000D-0000-FFFF-FFFF00000000}"/>
  </bookViews>
  <sheets>
    <sheet name="Innovation Tracker Updated" sheetId="2" r:id="rId1"/>
    <sheet name="Sheet1" sheetId="3" r:id="rId2"/>
  </sheets>
  <definedNames>
    <definedName name="_xlnm._FilterDatabase" localSheetId="0" hidden="1">'Innovation Tracker Updated'!$A$1:$T$38</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2" i="2" l="1"/>
  <c r="K11" i="2"/>
  <c r="K5" i="2"/>
</calcChain>
</file>

<file path=xl/sharedStrings.xml><?xml version="1.0" encoding="utf-8"?>
<sst xmlns="http://schemas.openxmlformats.org/spreadsheetml/2006/main" count="577" uniqueCount="202">
  <si>
    <t>Project</t>
  </si>
  <si>
    <t>Category</t>
  </si>
  <si>
    <t>Desciption</t>
  </si>
  <si>
    <t>GM</t>
  </si>
  <si>
    <t>iTO(mn)</t>
  </si>
  <si>
    <t>Hair</t>
  </si>
  <si>
    <t>1st FY</t>
  </si>
  <si>
    <t>Production</t>
  </si>
  <si>
    <t>Primaries</t>
  </si>
  <si>
    <t>Innovation</t>
  </si>
  <si>
    <t>SSK HF Ingredient Change</t>
  </si>
  <si>
    <t>Renovation</t>
  </si>
  <si>
    <t>L Arginine ingredient addition to the pack</t>
  </si>
  <si>
    <t>SSK + Tres access pack</t>
  </si>
  <si>
    <t>Affordable pricing pack</t>
  </si>
  <si>
    <t>Sunsillk AD Import</t>
  </si>
  <si>
    <t>Bottles import from Indonesia. To capture H&amp;S lapsers seeking beauty benefit with AD</t>
  </si>
  <si>
    <t>SSK spicy double patta</t>
  </si>
  <si>
    <t>Lifebuoy</t>
  </si>
  <si>
    <t>Project Lilly</t>
  </si>
  <si>
    <t>Prewash Mask 150ml  (Herbal &amp;Onion)</t>
  </si>
  <si>
    <t>Lifebuoy Rosemary/Ricewater</t>
  </si>
  <si>
    <t>Clear</t>
  </si>
  <si>
    <t>Clear Courage Sachet</t>
  </si>
  <si>
    <t>Clear Carat &amp; Courage</t>
  </si>
  <si>
    <t>Clear localization with local mould</t>
  </si>
  <si>
    <t>Clear CSM &amp; HF</t>
  </si>
  <si>
    <t>Addition of 02 variants cool sport menthol &amp; Hairfall</t>
  </si>
  <si>
    <t>Dove</t>
  </si>
  <si>
    <t>Dove Dream</t>
  </si>
  <si>
    <t>3D Change in Dove shampoo,conditioner &amp; mask portfolio</t>
  </si>
  <si>
    <t>Dove Dior</t>
  </si>
  <si>
    <t>Addition of new variant - Bond Repair</t>
  </si>
  <si>
    <t>Launched</t>
  </si>
  <si>
    <t>Ponds</t>
  </si>
  <si>
    <t>Ponds BB Cream 23g</t>
  </si>
  <si>
    <t>NRM</t>
  </si>
  <si>
    <t>Brighthen skin in 7 days</t>
  </si>
  <si>
    <t>BB facewash 25g</t>
  </si>
  <si>
    <t>PSLG CHM</t>
  </si>
  <si>
    <t>Upto 72 hours hydration (formulation change)</t>
  </si>
  <si>
    <t>Vaseline</t>
  </si>
  <si>
    <t>Vaseline Voltaire</t>
  </si>
  <si>
    <t xml:space="preserve">70x more powerful than vitamin C - Vaseline Gluta Hya </t>
  </si>
  <si>
    <t>Vaseline Vancouver</t>
  </si>
  <si>
    <t xml:space="preserve">Lotions Localization - 48Hr Deep Moisturization </t>
  </si>
  <si>
    <t>Vaseline Verve</t>
  </si>
  <si>
    <t>Vaseline Cloud Soft - Face Moisturizer for 10x Plumper Skin</t>
  </si>
  <si>
    <t>GAL</t>
  </si>
  <si>
    <t>Project Gloss</t>
  </si>
  <si>
    <t>Ultra light gel cream- glass like skin</t>
  </si>
  <si>
    <t>Access pack</t>
  </si>
  <si>
    <t xml:space="preserve">15g facewah NRM (3x multivitamin brightening) </t>
  </si>
  <si>
    <t>Vit.C Facewash</t>
  </si>
  <si>
    <t xml:space="preserve">5x brightening with Vit.C </t>
  </si>
  <si>
    <t>June wk-23</t>
  </si>
  <si>
    <t>Sun sampling sachet</t>
  </si>
  <si>
    <t>Sunscreen sampling pack</t>
  </si>
  <si>
    <t>Big nose degram</t>
  </si>
  <si>
    <t>14ml to 12ml</t>
  </si>
  <si>
    <t xml:space="preserve">Introducing science elements with our natural traditional ingredients </t>
  </si>
  <si>
    <t>SSK Natural 205ml</t>
  </si>
  <si>
    <t>Increased the fill level from 195ml to 205ml</t>
  </si>
  <si>
    <t>Apr'26</t>
  </si>
  <si>
    <t>Mar'26</t>
  </si>
  <si>
    <t>Jan'26</t>
  </si>
  <si>
    <t>TBD</t>
  </si>
  <si>
    <t>Aug'26</t>
  </si>
  <si>
    <t>Sep'26</t>
  </si>
  <si>
    <t>Oct'26</t>
  </si>
  <si>
    <t xml:space="preserve">Anti Dullness Facewash designed to remove dead skin cells and give you bright skin </t>
  </si>
  <si>
    <t>N/A</t>
  </si>
  <si>
    <t>Anti Dandruff shampoo Sachet</t>
  </si>
  <si>
    <t xml:space="preserve">Clear Octo sachet deep cleanse &amp; Cool Black 8ml &amp; 3.5ml </t>
  </si>
  <si>
    <t>May'26</t>
  </si>
  <si>
    <t>Bussiness case and Volume sign-off required to kick-off</t>
  </si>
  <si>
    <t>Visibly Brighter Skin ​in 7 days</t>
  </si>
  <si>
    <t>Q3'27</t>
  </si>
  <si>
    <t>May'27</t>
  </si>
  <si>
    <t>Jun'26</t>
  </si>
  <si>
    <t>500k unit samples</t>
  </si>
  <si>
    <t>Artwork link issue; revised GAL laminate aw network delayed by 6day from 18th June</t>
  </si>
  <si>
    <t>Sunsilk Steel</t>
  </si>
  <si>
    <t>Sunsilk Sable</t>
  </si>
  <si>
    <t>SSK Power shot</t>
  </si>
  <si>
    <t>100H of ​Crystal Gloss Shine - Reinventing the iconic portfolio black shine</t>
  </si>
  <si>
    <t>Introducing a new hair line- all new SKUs</t>
  </si>
  <si>
    <t>Sunsilk Elidor</t>
  </si>
  <si>
    <t>New keratine variant launch</t>
  </si>
  <si>
    <t>launching serum sachet</t>
  </si>
  <si>
    <t>Clear Limited editions</t>
  </si>
  <si>
    <t>New variants launching with celebrity faces on bottles</t>
  </si>
  <si>
    <t xml:space="preserve">Dove Delaunay </t>
  </si>
  <si>
    <t>Launching of new color damage repair line</t>
  </si>
  <si>
    <t>Mixing up of bottles with every celebrity face in each case- need to check the capbility</t>
  </si>
  <si>
    <t>All the family in the line will be imported except for shampoo- need to work over shampoo localization. Bussiness case awaited</t>
  </si>
  <si>
    <t>New variant addition in the spicy range</t>
  </si>
  <si>
    <t>Serum in Sachet</t>
  </si>
  <si>
    <t>Project Lotus (Bottle)</t>
  </si>
  <si>
    <t>Project Lotus (Sachet)</t>
  </si>
  <si>
    <t>strategical on it consumes to additional value vs 3.5ml @ Rs 5 sachet.</t>
  </si>
  <si>
    <t>Bussiness case+ Formulation+ Pack matt WIP( its fragrance in formulation is not decided)</t>
  </si>
  <si>
    <t xml:space="preserve">Launched 3 Months covered - (3rd March) </t>
  </si>
  <si>
    <t>Launched (2 variants filled)</t>
  </si>
  <si>
    <t>Status</t>
  </si>
  <si>
    <t>Trial done and TT stage begins</t>
  </si>
  <si>
    <t>Bottles standing issue in the puck~ Procurement to present RCA from suppliers end</t>
  </si>
  <si>
    <t>Reinventing the core variant black shine - kicking off with the serum( cream based texture).  Business case+formulation awaited, Network needs to be firmed up</t>
  </si>
  <si>
    <t>Includes Bi-phasic serum and sealer - needs global help for refrigrant supply chain - Internal calls need to be kicked off</t>
  </si>
  <si>
    <t>Sunsilk</t>
  </si>
  <si>
    <t>Silica air freight timeline is 3-4 wks ~ need to pull back</t>
  </si>
  <si>
    <t>Business case approval from IRM + SU RYK but not on metallic structure at RYK- Stancose can do it but its timeline is not locked</t>
  </si>
  <si>
    <t>Ponds Hydramiracle Lotions</t>
  </si>
  <si>
    <t xml:space="preserve">RM delievered to Steg - Cartons delievered </t>
  </si>
  <si>
    <t xml:space="preserve">MPT Trial  is completed
PM arrival by sea and air frieght are locked but occuring simultaneoulsy however needed to pull back air frieght timelines. </t>
  </si>
  <si>
    <t>Pilot (RM/ PM) à Samples arrival date
STEG Pilot – Quotes, Rates, PR/ PO &amp; lead the discussion and update.
Mould PO – Raised. Capex – Initiated. confirm timelines in next NW call.
STP files are received</t>
  </si>
  <si>
    <t>Jar samples received - Need to finalize the sizes for sleeve making and confirmation by brands team+ Firm up the network</t>
  </si>
  <si>
    <t>Bussiness case approval done -Network kicked off- Global artwork revision needed.</t>
  </si>
  <si>
    <t>Brand</t>
  </si>
  <si>
    <t>SKIN</t>
  </si>
  <si>
    <t>Yr- 26</t>
  </si>
  <si>
    <t>DP Vol</t>
  </si>
  <si>
    <t xml:space="preserve">Stability </t>
  </si>
  <si>
    <t>Site</t>
  </si>
  <si>
    <t>Trial Status</t>
  </si>
  <si>
    <t>Updates</t>
  </si>
  <si>
    <t>Risks</t>
  </si>
  <si>
    <t>On-track</t>
  </si>
  <si>
    <t>Scope</t>
  </si>
  <si>
    <t>SKU &amp; Format</t>
  </si>
  <si>
    <t>Shampoo</t>
  </si>
  <si>
    <t xml:space="preserve"> Production planned for new stock once pipline is consumed</t>
  </si>
  <si>
    <t xml:space="preserve"> Serums</t>
  </si>
  <si>
    <t>Steg</t>
  </si>
  <si>
    <t>MPT- GFS</t>
  </si>
  <si>
    <t>Delayed</t>
  </si>
  <si>
    <t>1) Need to look for an alternate supplier
2) Labelling supplier needs to be searched</t>
  </si>
  <si>
    <t>1)Bottles and caps at the factory, awaiting L1 report from quality
2) Caps shortage issue of 52000 vs 64000 to be arranged before production
3) PCP timelines to be pulled back
4) 5 days Holidays and additional labelling days added</t>
  </si>
  <si>
    <t>Scratches recurring issue</t>
  </si>
  <si>
    <t>June- Wk-3</t>
  </si>
  <si>
    <t>Stock imported from Indo</t>
  </si>
  <si>
    <t>Sachet</t>
  </si>
  <si>
    <t>RYK</t>
  </si>
  <si>
    <t>Only SSK - Completed</t>
  </si>
  <si>
    <t>Revised mechanical hard copy is awaited</t>
  </si>
  <si>
    <t>Serum, Shampoo and Conditioner</t>
  </si>
  <si>
    <t>MPT-Completed</t>
  </si>
  <si>
    <t>Completed</t>
  </si>
  <si>
    <t>High timelines of PM &amp;RM</t>
  </si>
  <si>
    <t>Steg+ RYK</t>
  </si>
  <si>
    <t>Done</t>
  </si>
  <si>
    <t xml:space="preserve">Anti Dandruff shampoo bottles 90,175,370 </t>
  </si>
  <si>
    <t xml:space="preserve">Landed </t>
  </si>
  <si>
    <t>Kick-off</t>
  </si>
  <si>
    <t>On-Track</t>
  </si>
  <si>
    <t>Yr</t>
  </si>
  <si>
    <t>Masks</t>
  </si>
  <si>
    <t>Listing has been staring in parallel as dispatched samples received</t>
  </si>
  <si>
    <t>Bussiness Case is awaited</t>
  </si>
  <si>
    <t>Clear import 7 variants from AR</t>
  </si>
  <si>
    <t>NIMIR</t>
  </si>
  <si>
    <t>Clear localization filling with imported bottles on 2 variants Deep cleanse and Shower fresh</t>
  </si>
  <si>
    <t>Mould</t>
  </si>
  <si>
    <t>Caffeine is now being procured through technical supplier/antalia, timelines to be confirmed. 
Peppermint 900g sample pack coming from symrise supplier directly by turkey help</t>
  </si>
  <si>
    <t>Caffeine procuremnet status</t>
  </si>
  <si>
    <t>In-progress on 8-wk stability production go-ahead</t>
  </si>
  <si>
    <t>Shampoo and Conditioner</t>
  </si>
  <si>
    <t xml:space="preserve">MPT for 200ml, 400ml completed
MPT for 90ml, 660ml awaited </t>
  </si>
  <si>
    <t>Bulk RM(fragrance) delievery might et impacted due to cyclone conditions</t>
  </si>
  <si>
    <t xml:space="preserve">Trial for 200ml/ 400ml is completed report awaited for TT 
MCR approval  for 90ml, 660ml along with 660ml pump arrival to the site
RM delieveries intact. </t>
  </si>
  <si>
    <t xml:space="preserve">Scratches on the foil </t>
  </si>
  <si>
    <t xml:space="preserve">Scratehces on foil </t>
  </si>
  <si>
    <t>Shampoo, Condition and Bi-phsic serum</t>
  </si>
  <si>
    <t>RYK+ Steg</t>
  </si>
  <si>
    <t xml:space="preserve">Bi-phasic serum  supply chain
Sulfate free shampoo solution
</t>
  </si>
  <si>
    <t>Ponds SUN</t>
  </si>
  <si>
    <t>Detan FW - reduces tan in one week (new variant)</t>
  </si>
  <si>
    <t>Ponds Paddlepop</t>
  </si>
  <si>
    <t>Not completed</t>
  </si>
  <si>
    <t>Revision of timelines</t>
  </si>
  <si>
    <t>Sunscreen 50X Brightening Power for brighter skin in 7 days​ &amp; 3X Hydration Power to instantly hydrate</t>
  </si>
  <si>
    <t>MPT not started</t>
  </si>
  <si>
    <t>Jar</t>
  </si>
  <si>
    <t>2 wks</t>
  </si>
  <si>
    <t>RYK production confirmed~ Torture test will be needed. Now the artwork is revised timelines due to aw</t>
  </si>
  <si>
    <t>BB Cream- Big nose Sachet 7ml</t>
  </si>
  <si>
    <t>RYK or Stancose</t>
  </si>
  <si>
    <t>metallic sachet  cannot run at RYK</t>
  </si>
  <si>
    <t>Premiumum lotions</t>
  </si>
  <si>
    <t>MPT-GFS</t>
  </si>
  <si>
    <t xml:space="preserve">Carton proofing travel </t>
  </si>
  <si>
    <t>MPT Completed</t>
  </si>
  <si>
    <t>Bulk PM delievery by AF and SF is at risk</t>
  </si>
  <si>
    <t>MPT Not started</t>
  </si>
  <si>
    <t>Not begin</t>
  </si>
  <si>
    <t>Mould required</t>
  </si>
  <si>
    <t>Tubes, Jars, Sachet</t>
  </si>
  <si>
    <t>Pump Bottle</t>
  </si>
  <si>
    <t>Tubes</t>
  </si>
  <si>
    <t>Tube</t>
  </si>
  <si>
    <t>Inporgress</t>
  </si>
  <si>
    <t>Global AW awaited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</si>
</sst>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b/>
      <sz val="10"/>
      <color theme="1"/>
      <name val="Calibri"/>
      <family val="2"/>
      <scheme val="minor"/>
    </font>
    <font>
      <sz val="11"/>
      <color theme="1"/>
      <name val="Calibri"/>
      <family val="2"/>
      <scheme val="minor"/>
    </font>
    <font>
      <b/>
      <sz val="8"/>
      <color theme="1"/>
      <name val="Calibri"/>
      <family val="2"/>
      <scheme val="minor"/>
    </font>
    <font>
      <sz val="8"/>
      <color rgb="FF000000"/>
      <name val="Calibri"/>
      <family val="2"/>
      <scheme val="minor"/>
    </font>
    <font>
      <sz val="8"/>
      <color rgb="FF232323"/>
      <name val="Calibri"/>
      <family val="2"/>
      <scheme val="minor"/>
    </font>
    <font>
      <sz val="8"/>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rgb="FFFFFFFF"/>
        <bgColor rgb="FF000000"/>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6" fillId="0" borderId="0" applyFont="0" applyFill="0" applyBorder="0" applyAlignment="0" applyProtection="0"/>
  </cellStyleXfs>
  <cellXfs count="94">
    <xf numFmtId="0" fontId="0" fillId="0" borderId="0" xfId="0"/>
    <xf numFmtId="0" fontId="1" fillId="0" borderId="0" xfId="0" applyFont="1"/>
    <xf numFmtId="0" fontId="2" fillId="0" borderId="0" xfId="0" applyFont="1"/>
    <xf numFmtId="0" fontId="2" fillId="0" borderId="0" xfId="0" applyFont="1" applyAlignment="1">
      <alignment horizontal="center"/>
    </xf>
    <xf numFmtId="0" fontId="5"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2" fillId="0" borderId="1" xfId="0" applyFont="1" applyBorder="1" applyAlignment="1">
      <alignment horizontal="center"/>
    </xf>
    <xf numFmtId="0" fontId="4" fillId="2" borderId="1" xfId="0" applyFont="1" applyFill="1" applyBorder="1" applyAlignment="1">
      <alignment horizontal="center" vertical="center"/>
    </xf>
    <xf numFmtId="0" fontId="2" fillId="0" borderId="1" xfId="0" applyFont="1" applyBorder="1" applyAlignment="1">
      <alignment horizontal="left"/>
    </xf>
    <xf numFmtId="0" fontId="2" fillId="0" borderId="1" xfId="0" applyFont="1" applyBorder="1"/>
    <xf numFmtId="164" fontId="3" fillId="0" borderId="1" xfId="1" applyNumberFormat="1" applyFont="1" applyBorder="1" applyAlignment="1">
      <alignment horizontal="center" vertical="center"/>
    </xf>
    <xf numFmtId="0" fontId="2" fillId="0" borderId="1" xfId="0" applyFont="1" applyBorder="1" applyAlignment="1">
      <alignment horizontal="left" vertical="center"/>
    </xf>
    <xf numFmtId="0" fontId="3" fillId="0" borderId="0" xfId="0" applyFont="1" applyAlignment="1">
      <alignment horizontal="center"/>
    </xf>
    <xf numFmtId="0" fontId="3" fillId="0" borderId="1" xfId="0" applyFont="1" applyBorder="1" applyAlignment="1">
      <alignment horizontal="center"/>
    </xf>
    <xf numFmtId="0" fontId="3" fillId="3" borderId="1" xfId="0" applyFont="1" applyFill="1" applyBorder="1" applyAlignment="1">
      <alignment horizontal="center" vertical="center"/>
    </xf>
    <xf numFmtId="15" fontId="8" fillId="4" borderId="1" xfId="0" applyNumberFormat="1" applyFont="1" applyFill="1" applyBorder="1" applyAlignment="1">
      <alignment horizontal="center"/>
    </xf>
    <xf numFmtId="15" fontId="8" fillId="0" borderId="1" xfId="0" applyNumberFormat="1" applyFont="1" applyBorder="1" applyAlignment="1">
      <alignment horizontal="center"/>
    </xf>
    <xf numFmtId="15"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15" fontId="3" fillId="0" borderId="1" xfId="0" applyNumberFormat="1" applyFont="1" applyBorder="1" applyAlignment="1">
      <alignment horizontal="center"/>
    </xf>
    <xf numFmtId="2" fontId="3" fillId="0" borderId="1" xfId="0" applyNumberFormat="1" applyFont="1" applyBorder="1" applyAlignment="1">
      <alignment horizontal="center" vertical="center"/>
    </xf>
    <xf numFmtId="2" fontId="3" fillId="0" borderId="0" xfId="0" applyNumberFormat="1" applyFont="1" applyAlignment="1">
      <alignment horizontal="center"/>
    </xf>
    <xf numFmtId="2" fontId="8" fillId="0" borderId="1" xfId="0" applyNumberFormat="1" applyFont="1" applyBorder="1" applyAlignment="1">
      <alignment horizontal="center"/>
    </xf>
    <xf numFmtId="2" fontId="3" fillId="0" borderId="1" xfId="1" applyNumberFormat="1" applyFont="1" applyBorder="1" applyAlignment="1">
      <alignment horizontal="center" vertical="center"/>
    </xf>
    <xf numFmtId="164" fontId="3" fillId="0" borderId="1" xfId="0" applyNumberFormat="1" applyFont="1" applyBorder="1" applyAlignment="1">
      <alignment horizontal="center" vertical="center"/>
    </xf>
    <xf numFmtId="164" fontId="3" fillId="0" borderId="0" xfId="0" applyNumberFormat="1" applyFont="1" applyAlignment="1">
      <alignment horizontal="center"/>
    </xf>
    <xf numFmtId="1" fontId="2" fillId="0" borderId="0" xfId="0" applyNumberFormat="1" applyFont="1" applyAlignment="1">
      <alignment horizontal="center"/>
    </xf>
    <xf numFmtId="1" fontId="3" fillId="0" borderId="1" xfId="0" applyNumberFormat="1" applyFont="1" applyBorder="1" applyAlignment="1">
      <alignment horizontal="center" vertical="center"/>
    </xf>
    <xf numFmtId="1" fontId="3" fillId="3" borderId="1" xfId="0" applyNumberFormat="1" applyFont="1" applyFill="1" applyBorder="1" applyAlignment="1">
      <alignment horizontal="center" vertical="center"/>
    </xf>
    <xf numFmtId="1" fontId="2" fillId="0" borderId="1" xfId="0" applyNumberFormat="1" applyFont="1" applyBorder="1" applyAlignment="1">
      <alignment horizontal="center"/>
    </xf>
    <xf numFmtId="1" fontId="3" fillId="5" borderId="1" xfId="0" applyNumberFormat="1" applyFont="1" applyFill="1" applyBorder="1" applyAlignment="1">
      <alignment horizontal="center" vertical="center"/>
    </xf>
    <xf numFmtId="37" fontId="3" fillId="0" borderId="1" xfId="0" applyNumberFormat="1"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left"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left" wrapText="1"/>
    </xf>
    <xf numFmtId="0" fontId="4" fillId="2" borderId="1" xfId="0" applyFont="1" applyFill="1" applyBorder="1" applyAlignment="1">
      <alignment horizontal="center" vertical="center" wrapText="1"/>
    </xf>
    <xf numFmtId="164" fontId="7" fillId="2" borderId="1" xfId="0" applyNumberFormat="1" applyFont="1" applyFill="1" applyBorder="1" applyAlignment="1">
      <alignment horizontal="center" vertical="center"/>
    </xf>
    <xf numFmtId="2" fontId="7"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3" fillId="0" borderId="1" xfId="0" applyFont="1" applyBorder="1" applyAlignment="1">
      <alignment wrapText="1"/>
    </xf>
    <xf numFmtId="0" fontId="3" fillId="0" borderId="1" xfId="0" applyFont="1" applyBorder="1"/>
    <xf numFmtId="0" fontId="8" fillId="0" borderId="1" xfId="0" applyFont="1" applyBorder="1" applyAlignment="1">
      <alignment horizontal="left" wrapText="1"/>
    </xf>
    <xf numFmtId="0" fontId="8" fillId="0" borderId="1" xfId="0" applyFont="1" applyBorder="1" applyAlignment="1">
      <alignment wrapText="1"/>
    </xf>
    <xf numFmtId="0" fontId="2" fillId="0" borderId="1" xfId="0" applyFont="1" applyBorder="1" applyAlignment="1">
      <alignment vertical="center"/>
    </xf>
    <xf numFmtId="15" fontId="8" fillId="0" borderId="1" xfId="0" applyNumberFormat="1" applyFont="1" applyBorder="1" applyAlignment="1">
      <alignment horizontal="center" wrapText="1"/>
    </xf>
    <xf numFmtId="15" fontId="8" fillId="0" borderId="1" xfId="0" applyNumberFormat="1" applyFont="1" applyBorder="1" applyAlignment="1">
      <alignment horizontal="center" vertical="center" wrapText="1"/>
    </xf>
    <xf numFmtId="15" fontId="8" fillId="4" borderId="1" xfId="0" applyNumberFormat="1" applyFont="1" applyFill="1" applyBorder="1" applyAlignment="1">
      <alignment horizontal="center" wrapText="1"/>
    </xf>
    <xf numFmtId="15" fontId="8" fillId="0" borderId="1" xfId="0" applyNumberFormat="1" applyFont="1" applyBorder="1" applyAlignment="1">
      <alignment horizontal="center" vertical="center"/>
    </xf>
    <xf numFmtId="164" fontId="7" fillId="2"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1" fontId="3" fillId="0" borderId="1" xfId="0" applyNumberFormat="1" applyFont="1" applyBorder="1" applyAlignment="1">
      <alignment horizontal="center" vertical="center" wrapText="1"/>
    </xf>
    <xf numFmtId="37" fontId="3" fillId="0" borderId="1" xfId="0" applyNumberFormat="1" applyFont="1" applyBorder="1" applyAlignment="1">
      <alignment horizontal="center" vertical="center" wrapText="1"/>
    </xf>
    <xf numFmtId="0" fontId="2" fillId="0" borderId="1" xfId="0" applyFont="1" applyBorder="1" applyAlignment="1">
      <alignment horizontal="center" wrapText="1"/>
    </xf>
    <xf numFmtId="0" fontId="2" fillId="0" borderId="0" xfId="0" applyFont="1" applyAlignment="1">
      <alignment horizontal="center" wrapText="1"/>
    </xf>
    <xf numFmtId="2" fontId="7" fillId="2" borderId="1" xfId="0" applyNumberFormat="1" applyFont="1" applyFill="1" applyBorder="1" applyAlignment="1">
      <alignment horizontal="center" vertical="center" wrapText="1"/>
    </xf>
    <xf numFmtId="15"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15" fontId="3" fillId="0" borderId="1" xfId="0" applyNumberFormat="1" applyFont="1" applyBorder="1" applyAlignment="1">
      <alignment horizontal="center" wrapText="1"/>
    </xf>
    <xf numFmtId="0" fontId="3" fillId="0" borderId="1" xfId="0" applyFont="1" applyBorder="1" applyAlignment="1">
      <alignment horizontal="center" wrapText="1"/>
    </xf>
    <xf numFmtId="0" fontId="3" fillId="0" borderId="0" xfId="0" applyFont="1" applyAlignment="1">
      <alignment horizontal="center" wrapText="1"/>
    </xf>
    <xf numFmtId="0" fontId="3" fillId="0" borderId="1" xfId="1" applyNumberFormat="1" applyFont="1" applyBorder="1" applyAlignment="1">
      <alignment horizontal="center" vertical="center"/>
    </xf>
    <xf numFmtId="0" fontId="7" fillId="2" borderId="1" xfId="0" applyNumberFormat="1" applyFont="1" applyFill="1" applyBorder="1" applyAlignment="1">
      <alignment horizontal="center" vertical="center"/>
    </xf>
    <xf numFmtId="0" fontId="3" fillId="0" borderId="1" xfId="0" applyNumberFormat="1" applyFont="1" applyBorder="1" applyAlignment="1">
      <alignment horizontal="center" vertical="center"/>
    </xf>
    <xf numFmtId="0" fontId="8" fillId="0" borderId="1" xfId="0" applyNumberFormat="1" applyFont="1" applyBorder="1" applyAlignment="1">
      <alignment horizontal="center"/>
    </xf>
    <xf numFmtId="0" fontId="3" fillId="0" borderId="0" xfId="0" applyNumberFormat="1" applyFont="1" applyAlignment="1">
      <alignment horizontal="center"/>
    </xf>
    <xf numFmtId="15" fontId="9" fillId="0" borderId="1" xfId="0" applyNumberFormat="1" applyFont="1" applyBorder="1" applyAlignment="1">
      <alignment horizontal="center"/>
    </xf>
    <xf numFmtId="0" fontId="3" fillId="0" borderId="1" xfId="0" applyFont="1" applyFill="1" applyBorder="1" applyAlignment="1">
      <alignment horizontal="center" vertical="center"/>
    </xf>
    <xf numFmtId="0" fontId="10"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3" fillId="0" borderId="1" xfId="0" applyFont="1" applyFill="1" applyBorder="1" applyAlignment="1">
      <alignment horizontal="left" vertical="center"/>
    </xf>
    <xf numFmtId="0" fontId="2" fillId="0" borderId="2" xfId="0" applyFont="1" applyBorder="1" applyAlignment="1">
      <alignment vertical="center"/>
    </xf>
    <xf numFmtId="0" fontId="4" fillId="0" borderId="1" xfId="0" applyFont="1" applyBorder="1" applyAlignment="1">
      <alignment vertical="center"/>
    </xf>
    <xf numFmtId="0" fontId="4" fillId="0" borderId="1" xfId="0" applyFont="1" applyFill="1" applyBorder="1" applyAlignment="1">
      <alignment vertical="center"/>
    </xf>
    <xf numFmtId="0" fontId="2" fillId="0" borderId="1" xfId="0" applyFont="1" applyFill="1" applyBorder="1" applyAlignment="1">
      <alignment vertical="center"/>
    </xf>
    <xf numFmtId="164" fontId="3" fillId="0" borderId="1" xfId="0" applyNumberFormat="1" applyFont="1" applyFill="1" applyBorder="1" applyAlignment="1">
      <alignment horizontal="center" vertical="center"/>
    </xf>
    <xf numFmtId="2" fontId="3"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1" fontId="3" fillId="0" borderId="1" xfId="0" applyNumberFormat="1" applyFont="1" applyFill="1" applyBorder="1" applyAlignment="1">
      <alignment horizontal="center" vertical="center"/>
    </xf>
    <xf numFmtId="37" fontId="3" fillId="0" borderId="1" xfId="0" applyNumberFormat="1" applyFont="1" applyFill="1" applyBorder="1" applyAlignment="1">
      <alignment horizontal="center" vertical="center"/>
    </xf>
    <xf numFmtId="37"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xf numFmtId="0" fontId="2" fillId="0" borderId="0" xfId="0" applyFont="1" applyFill="1"/>
    <xf numFmtId="0" fontId="0" fillId="0" borderId="0" xfId="0" applyFill="1"/>
    <xf numFmtId="0" fontId="2" fillId="0" borderId="2" xfId="0" applyFont="1" applyFill="1" applyBorder="1" applyAlignment="1">
      <alignment vertical="center"/>
    </xf>
    <xf numFmtId="164" fontId="3" fillId="0" borderId="1"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8" fillId="0" borderId="1" xfId="0" applyFont="1" applyFill="1" applyBorder="1"/>
    <xf numFmtId="0" fontId="3" fillId="0" borderId="1" xfId="0"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A89E5-55F3-417B-8EFC-86786CDD2B50}">
  <dimension ref="A1:W38"/>
  <sheetViews>
    <sheetView showGridLines="0" tabSelected="1" zoomScale="103" zoomScaleNormal="100" workbookViewId="0">
      <pane xSplit="2" ySplit="1" topLeftCell="C2" activePane="bottomRight" state="frozen"/>
      <selection pane="topRight" activeCell="C1" sqref="C1"/>
      <selection pane="bottomLeft" activeCell="A3" sqref="A3"/>
      <selection pane="bottomRight" activeCell="F3" sqref="F3"/>
    </sheetView>
  </sheetViews>
  <sheetFormatPr defaultRowHeight="14.4" x14ac:dyDescent="0.3"/>
  <cols>
    <col min="1" max="2" width="9.44140625" customWidth="1"/>
    <col min="3" max="3" width="27.88671875" style="3" customWidth="1"/>
    <col min="4" max="4" width="14.33203125" style="3" customWidth="1"/>
    <col min="5" max="5" width="67.33203125" style="6" customWidth="1"/>
    <col min="6" max="6" width="7" style="28" customWidth="1"/>
    <col min="7" max="7" width="5.88671875" style="24" customWidth="1"/>
    <col min="8" max="8" width="5.88671875" style="68" customWidth="1"/>
    <col min="9" max="9" width="9" style="3" customWidth="1"/>
    <col min="10" max="10" width="10" style="29" hidden="1" customWidth="1"/>
    <col min="11" max="11" width="8.33203125" style="3" customWidth="1"/>
    <col min="12" max="12" width="12.44140625" style="57" customWidth="1"/>
    <col min="13" max="13" width="9.109375" style="57" customWidth="1"/>
    <col min="14" max="14" width="13" style="3" customWidth="1"/>
    <col min="15" max="15" width="14.109375" style="3" customWidth="1"/>
    <col min="16" max="16" width="13.44140625" style="15" customWidth="1"/>
    <col min="17" max="17" width="9.6640625" style="15" customWidth="1"/>
    <col min="18" max="18" width="15.5546875" style="63" customWidth="1"/>
    <col min="19" max="19" width="45.44140625" style="2" customWidth="1"/>
    <col min="20" max="20" width="14.88671875" style="2" customWidth="1"/>
    <col min="21" max="22" width="8.6640625" style="2"/>
  </cols>
  <sheetData>
    <row r="1" spans="1:23" x14ac:dyDescent="0.3">
      <c r="A1" s="39" t="s">
        <v>1</v>
      </c>
      <c r="B1" s="39" t="s">
        <v>118</v>
      </c>
      <c r="C1" s="10" t="s">
        <v>0</v>
      </c>
      <c r="D1" s="10" t="s">
        <v>128</v>
      </c>
      <c r="E1" s="10" t="s">
        <v>2</v>
      </c>
      <c r="F1" s="40" t="s">
        <v>3</v>
      </c>
      <c r="G1" s="41" t="s">
        <v>4</v>
      </c>
      <c r="H1" s="65" t="s">
        <v>155</v>
      </c>
      <c r="I1" s="10" t="s">
        <v>121</v>
      </c>
      <c r="J1" s="10" t="s">
        <v>120</v>
      </c>
      <c r="K1" s="10" t="s">
        <v>6</v>
      </c>
      <c r="L1" s="52" t="s">
        <v>129</v>
      </c>
      <c r="M1" s="58" t="s">
        <v>124</v>
      </c>
      <c r="N1" s="41" t="s">
        <v>123</v>
      </c>
      <c r="O1" s="40" t="s">
        <v>122</v>
      </c>
      <c r="P1" s="10" t="s">
        <v>7</v>
      </c>
      <c r="Q1" s="10" t="s">
        <v>8</v>
      </c>
      <c r="R1" s="39" t="s">
        <v>126</v>
      </c>
      <c r="S1" s="42" t="s">
        <v>125</v>
      </c>
      <c r="T1" s="42" t="s">
        <v>104</v>
      </c>
      <c r="U1" s="4"/>
      <c r="V1" s="5"/>
      <c r="W1" s="1"/>
    </row>
    <row r="2" spans="1:23" ht="21.6" x14ac:dyDescent="0.3">
      <c r="A2" s="75" t="s">
        <v>5</v>
      </c>
      <c r="B2" s="47" t="s">
        <v>109</v>
      </c>
      <c r="C2" s="7" t="s">
        <v>61</v>
      </c>
      <c r="D2" s="7" t="s">
        <v>11</v>
      </c>
      <c r="E2" s="14" t="s">
        <v>62</v>
      </c>
      <c r="F2" s="27">
        <v>0.6</v>
      </c>
      <c r="G2" s="23">
        <v>1.3</v>
      </c>
      <c r="H2" s="66">
        <v>2026</v>
      </c>
      <c r="I2" s="7">
        <v>68.900000000000006</v>
      </c>
      <c r="J2" s="30">
        <v>243.20999999999998</v>
      </c>
      <c r="K2" s="7">
        <v>255</v>
      </c>
      <c r="L2" s="53" t="s">
        <v>130</v>
      </c>
      <c r="M2" s="53" t="s">
        <v>146</v>
      </c>
      <c r="N2" s="7" t="s">
        <v>142</v>
      </c>
      <c r="O2" s="7" t="s">
        <v>147</v>
      </c>
      <c r="P2" s="18">
        <v>46216</v>
      </c>
      <c r="Q2" s="18">
        <v>46230</v>
      </c>
      <c r="R2" s="50" t="s">
        <v>138</v>
      </c>
      <c r="S2" s="43" t="s">
        <v>106</v>
      </c>
      <c r="T2" s="44" t="s">
        <v>127</v>
      </c>
    </row>
    <row r="3" spans="1:23" x14ac:dyDescent="0.3">
      <c r="A3" s="75" t="s">
        <v>5</v>
      </c>
      <c r="B3" s="47" t="s">
        <v>109</v>
      </c>
      <c r="C3" s="7" t="s">
        <v>10</v>
      </c>
      <c r="D3" s="7" t="s">
        <v>11</v>
      </c>
      <c r="E3" s="12" t="s">
        <v>12</v>
      </c>
      <c r="F3" s="27" t="s">
        <v>71</v>
      </c>
      <c r="G3" s="23" t="s">
        <v>71</v>
      </c>
      <c r="H3" s="66">
        <v>2026</v>
      </c>
      <c r="I3" s="7" t="s">
        <v>71</v>
      </c>
      <c r="J3" s="30" t="s">
        <v>71</v>
      </c>
      <c r="K3" s="7" t="s">
        <v>71</v>
      </c>
      <c r="L3" s="53" t="s">
        <v>71</v>
      </c>
      <c r="M3" s="53" t="s">
        <v>71</v>
      </c>
      <c r="N3" s="7" t="s">
        <v>71</v>
      </c>
      <c r="O3" s="7" t="s">
        <v>71</v>
      </c>
      <c r="P3" s="7" t="s">
        <v>71</v>
      </c>
      <c r="Q3" s="7" t="s">
        <v>71</v>
      </c>
      <c r="R3" s="53" t="s">
        <v>71</v>
      </c>
      <c r="S3" s="35" t="s">
        <v>131</v>
      </c>
      <c r="T3" s="44" t="s">
        <v>152</v>
      </c>
    </row>
    <row r="4" spans="1:23" ht="51" x14ac:dyDescent="0.3">
      <c r="A4" s="75" t="s">
        <v>5</v>
      </c>
      <c r="B4" s="47" t="s">
        <v>109</v>
      </c>
      <c r="C4" s="7" t="s">
        <v>13</v>
      </c>
      <c r="D4" s="7" t="s">
        <v>9</v>
      </c>
      <c r="E4" s="47" t="s">
        <v>14</v>
      </c>
      <c r="F4" s="27">
        <v>0.61199999999999999</v>
      </c>
      <c r="G4" s="23">
        <v>0.2</v>
      </c>
      <c r="H4" s="66">
        <v>2026</v>
      </c>
      <c r="I4" s="7">
        <v>2.2000000000000002</v>
      </c>
      <c r="J4" s="30">
        <v>3.99</v>
      </c>
      <c r="K4" s="7">
        <v>8</v>
      </c>
      <c r="L4" s="53" t="s">
        <v>132</v>
      </c>
      <c r="M4" s="53" t="s">
        <v>134</v>
      </c>
      <c r="N4" s="7" t="s">
        <v>133</v>
      </c>
      <c r="O4" s="7" t="s">
        <v>143</v>
      </c>
      <c r="P4" s="51">
        <v>46279</v>
      </c>
      <c r="Q4" s="51">
        <v>46292</v>
      </c>
      <c r="R4" s="49" t="s">
        <v>136</v>
      </c>
      <c r="S4" s="35" t="s">
        <v>137</v>
      </c>
      <c r="T4" s="44" t="s">
        <v>135</v>
      </c>
    </row>
    <row r="5" spans="1:23" x14ac:dyDescent="0.3">
      <c r="A5" s="75" t="s">
        <v>5</v>
      </c>
      <c r="B5" s="47" t="s">
        <v>109</v>
      </c>
      <c r="C5" s="7" t="s">
        <v>15</v>
      </c>
      <c r="D5" s="7" t="s">
        <v>9</v>
      </c>
      <c r="E5" s="12" t="s">
        <v>16</v>
      </c>
      <c r="F5" s="27">
        <v>0.25</v>
      </c>
      <c r="G5" s="23">
        <v>1.1000000000000001</v>
      </c>
      <c r="H5" s="66">
        <v>2026</v>
      </c>
      <c r="I5" s="7">
        <v>35.9</v>
      </c>
      <c r="J5" s="30">
        <v>43.69</v>
      </c>
      <c r="K5" s="30">
        <f>J5</f>
        <v>43.69</v>
      </c>
      <c r="L5" s="54" t="s">
        <v>130</v>
      </c>
      <c r="M5" s="54" t="s">
        <v>71</v>
      </c>
      <c r="N5" s="30" t="s">
        <v>71</v>
      </c>
      <c r="O5" s="30" t="s">
        <v>71</v>
      </c>
      <c r="P5" s="7" t="s">
        <v>71</v>
      </c>
      <c r="Q5" s="7" t="s">
        <v>139</v>
      </c>
      <c r="R5" s="53" t="s">
        <v>71</v>
      </c>
      <c r="S5" s="35" t="s">
        <v>140</v>
      </c>
      <c r="T5" s="44" t="s">
        <v>152</v>
      </c>
    </row>
    <row r="6" spans="1:23" x14ac:dyDescent="0.3">
      <c r="A6" s="75" t="s">
        <v>5</v>
      </c>
      <c r="B6" s="47" t="s">
        <v>109</v>
      </c>
      <c r="C6" s="7" t="s">
        <v>17</v>
      </c>
      <c r="D6" s="7" t="s">
        <v>9</v>
      </c>
      <c r="E6" s="14" t="s">
        <v>100</v>
      </c>
      <c r="F6" s="27">
        <v>0.45400000000000001</v>
      </c>
      <c r="G6" s="23">
        <v>0.79</v>
      </c>
      <c r="H6" s="66">
        <v>2026</v>
      </c>
      <c r="I6" s="7"/>
      <c r="J6" s="30">
        <v>289.95999999999998</v>
      </c>
      <c r="K6" s="34">
        <v>858</v>
      </c>
      <c r="L6" s="55" t="s">
        <v>141</v>
      </c>
      <c r="M6" s="55" t="s">
        <v>134</v>
      </c>
      <c r="N6" s="34" t="s">
        <v>142</v>
      </c>
      <c r="O6" s="34" t="s">
        <v>71</v>
      </c>
      <c r="P6" s="19">
        <v>46270</v>
      </c>
      <c r="Q6" s="19">
        <v>46277</v>
      </c>
      <c r="R6" s="48" t="s">
        <v>71</v>
      </c>
      <c r="S6" s="36" t="s">
        <v>144</v>
      </c>
      <c r="T6" s="44" t="s">
        <v>154</v>
      </c>
    </row>
    <row r="7" spans="1:23" ht="30.6" x14ac:dyDescent="0.3">
      <c r="A7" s="75" t="s">
        <v>5</v>
      </c>
      <c r="B7" s="47" t="s">
        <v>109</v>
      </c>
      <c r="C7" s="70" t="s">
        <v>83</v>
      </c>
      <c r="D7" s="70" t="s">
        <v>9</v>
      </c>
      <c r="E7" s="71" t="s">
        <v>85</v>
      </c>
      <c r="F7" s="27" t="s">
        <v>66</v>
      </c>
      <c r="G7" s="27" t="s">
        <v>66</v>
      </c>
      <c r="H7" s="66">
        <v>2027</v>
      </c>
      <c r="I7" s="27" t="s">
        <v>66</v>
      </c>
      <c r="J7" s="27" t="s">
        <v>66</v>
      </c>
      <c r="K7" s="64">
        <v>14</v>
      </c>
      <c r="L7" s="37" t="s">
        <v>145</v>
      </c>
      <c r="M7" s="37" t="s">
        <v>66</v>
      </c>
      <c r="N7" s="27" t="s">
        <v>149</v>
      </c>
      <c r="O7" s="27" t="s">
        <v>66</v>
      </c>
      <c r="P7" s="27" t="s">
        <v>66</v>
      </c>
      <c r="Q7" s="27" t="s">
        <v>66</v>
      </c>
      <c r="R7" s="37" t="s">
        <v>148</v>
      </c>
      <c r="S7" s="36" t="s">
        <v>107</v>
      </c>
      <c r="T7" s="44" t="s">
        <v>153</v>
      </c>
    </row>
    <row r="8" spans="1:23" ht="20.399999999999999" x14ac:dyDescent="0.3">
      <c r="A8" s="75" t="s">
        <v>5</v>
      </c>
      <c r="B8" s="47" t="s">
        <v>109</v>
      </c>
      <c r="C8" s="70" t="s">
        <v>82</v>
      </c>
      <c r="D8" s="70" t="s">
        <v>9</v>
      </c>
      <c r="E8" s="71" t="s">
        <v>86</v>
      </c>
      <c r="F8" s="27" t="s">
        <v>66</v>
      </c>
      <c r="G8" s="27" t="s">
        <v>66</v>
      </c>
      <c r="H8" s="66">
        <v>2027</v>
      </c>
      <c r="I8" s="27" t="s">
        <v>66</v>
      </c>
      <c r="J8" s="27" t="s">
        <v>66</v>
      </c>
      <c r="K8" s="27" t="s">
        <v>66</v>
      </c>
      <c r="L8" s="37" t="s">
        <v>66</v>
      </c>
      <c r="M8" s="37" t="s">
        <v>66</v>
      </c>
      <c r="N8" s="27" t="s">
        <v>66</v>
      </c>
      <c r="O8" s="27" t="s">
        <v>66</v>
      </c>
      <c r="P8" s="27" t="s">
        <v>66</v>
      </c>
      <c r="Q8" s="27" t="s">
        <v>66</v>
      </c>
      <c r="R8" s="37" t="s">
        <v>66</v>
      </c>
      <c r="S8" s="36" t="s">
        <v>95</v>
      </c>
      <c r="T8" s="44" t="s">
        <v>66</v>
      </c>
    </row>
    <row r="9" spans="1:23" x14ac:dyDescent="0.3">
      <c r="A9" s="75" t="s">
        <v>5</v>
      </c>
      <c r="B9" s="47" t="s">
        <v>109</v>
      </c>
      <c r="C9" s="70" t="s">
        <v>87</v>
      </c>
      <c r="D9" s="70" t="s">
        <v>9</v>
      </c>
      <c r="E9" s="72" t="s">
        <v>88</v>
      </c>
      <c r="F9" s="27" t="s">
        <v>66</v>
      </c>
      <c r="G9" s="27" t="s">
        <v>66</v>
      </c>
      <c r="H9" s="66">
        <v>2027</v>
      </c>
      <c r="I9" s="27" t="s">
        <v>66</v>
      </c>
      <c r="J9" s="27" t="s">
        <v>66</v>
      </c>
      <c r="K9" s="27" t="s">
        <v>66</v>
      </c>
      <c r="L9" s="37" t="s">
        <v>66</v>
      </c>
      <c r="M9" s="37" t="s">
        <v>66</v>
      </c>
      <c r="N9" s="37" t="s">
        <v>66</v>
      </c>
      <c r="O9" s="37" t="s">
        <v>66</v>
      </c>
      <c r="P9" s="27" t="s">
        <v>66</v>
      </c>
      <c r="Q9" s="27" t="s">
        <v>66</v>
      </c>
      <c r="R9" s="27" t="s">
        <v>66</v>
      </c>
      <c r="S9" s="36" t="s">
        <v>96</v>
      </c>
      <c r="T9" s="44" t="s">
        <v>66</v>
      </c>
    </row>
    <row r="10" spans="1:23" x14ac:dyDescent="0.3">
      <c r="A10" s="75" t="s">
        <v>5</v>
      </c>
      <c r="B10" s="47" t="s">
        <v>109</v>
      </c>
      <c r="C10" s="70" t="s">
        <v>84</v>
      </c>
      <c r="D10" s="70" t="s">
        <v>9</v>
      </c>
      <c r="E10" s="72" t="s">
        <v>89</v>
      </c>
      <c r="F10" s="27" t="s">
        <v>66</v>
      </c>
      <c r="G10" s="27" t="s">
        <v>66</v>
      </c>
      <c r="H10" s="66">
        <v>2027</v>
      </c>
      <c r="I10" s="27" t="s">
        <v>66</v>
      </c>
      <c r="J10" s="27" t="s">
        <v>66</v>
      </c>
      <c r="K10" s="27" t="s">
        <v>66</v>
      </c>
      <c r="L10" s="27" t="s">
        <v>66</v>
      </c>
      <c r="M10" s="27" t="s">
        <v>66</v>
      </c>
      <c r="N10" s="27" t="s">
        <v>66</v>
      </c>
      <c r="O10" s="27" t="s">
        <v>66</v>
      </c>
      <c r="P10" s="27" t="s">
        <v>66</v>
      </c>
      <c r="Q10" s="27" t="s">
        <v>66</v>
      </c>
      <c r="R10" s="27" t="s">
        <v>66</v>
      </c>
      <c r="S10" s="36" t="s">
        <v>97</v>
      </c>
      <c r="T10" s="44" t="s">
        <v>66</v>
      </c>
    </row>
    <row r="11" spans="1:23" x14ac:dyDescent="0.3">
      <c r="A11" s="75" t="s">
        <v>5</v>
      </c>
      <c r="B11" s="47" t="s">
        <v>18</v>
      </c>
      <c r="C11" s="7" t="s">
        <v>98</v>
      </c>
      <c r="D11" s="7" t="s">
        <v>9</v>
      </c>
      <c r="E11" s="8" t="s">
        <v>151</v>
      </c>
      <c r="F11" s="27">
        <v>0.6</v>
      </c>
      <c r="G11" s="25">
        <v>2.2999999999999998</v>
      </c>
      <c r="H11" s="67">
        <v>2026</v>
      </c>
      <c r="I11" s="7">
        <v>68.400000000000006</v>
      </c>
      <c r="J11" s="30">
        <v>629.20000000000005</v>
      </c>
      <c r="K11" s="30">
        <f>J11/10*12</f>
        <v>755.04</v>
      </c>
      <c r="L11" s="54" t="s">
        <v>130</v>
      </c>
      <c r="M11" s="54" t="s">
        <v>147</v>
      </c>
      <c r="N11" s="30" t="s">
        <v>142</v>
      </c>
      <c r="O11" s="30" t="s">
        <v>147</v>
      </c>
      <c r="P11" s="7" t="s">
        <v>63</v>
      </c>
      <c r="Q11" s="7" t="s">
        <v>64</v>
      </c>
      <c r="R11" s="53" t="s">
        <v>71</v>
      </c>
      <c r="S11" s="36" t="s">
        <v>150</v>
      </c>
      <c r="T11" s="44" t="s">
        <v>152</v>
      </c>
    </row>
    <row r="12" spans="1:23" x14ac:dyDescent="0.3">
      <c r="A12" s="75" t="s">
        <v>5</v>
      </c>
      <c r="B12" s="47" t="s">
        <v>18</v>
      </c>
      <c r="C12" s="7" t="s">
        <v>99</v>
      </c>
      <c r="D12" s="7" t="s">
        <v>9</v>
      </c>
      <c r="E12" s="8" t="s">
        <v>72</v>
      </c>
      <c r="F12" s="27">
        <v>0.39</v>
      </c>
      <c r="G12" s="25">
        <v>1.3</v>
      </c>
      <c r="H12" s="67">
        <v>2026</v>
      </c>
      <c r="I12" s="7">
        <v>65.2</v>
      </c>
      <c r="J12" s="30">
        <v>505.14</v>
      </c>
      <c r="K12" s="7">
        <v>571</v>
      </c>
      <c r="L12" s="53" t="s">
        <v>141</v>
      </c>
      <c r="M12" s="54" t="s">
        <v>147</v>
      </c>
      <c r="N12" s="30" t="s">
        <v>142</v>
      </c>
      <c r="O12" s="30" t="s">
        <v>147</v>
      </c>
      <c r="P12" s="7" t="s">
        <v>63</v>
      </c>
      <c r="Q12" s="7" t="s">
        <v>63</v>
      </c>
      <c r="R12" s="53" t="s">
        <v>71</v>
      </c>
      <c r="S12" s="36" t="s">
        <v>150</v>
      </c>
      <c r="T12" s="44" t="s">
        <v>152</v>
      </c>
    </row>
    <row r="13" spans="1:23" x14ac:dyDescent="0.3">
      <c r="A13" s="75" t="s">
        <v>5</v>
      </c>
      <c r="B13" s="47" t="s">
        <v>18</v>
      </c>
      <c r="C13" s="7" t="s">
        <v>19</v>
      </c>
      <c r="D13" s="7" t="s">
        <v>9</v>
      </c>
      <c r="E13" s="8" t="s">
        <v>20</v>
      </c>
      <c r="F13" s="27">
        <v>0.43</v>
      </c>
      <c r="G13" s="25">
        <v>0.6</v>
      </c>
      <c r="H13" s="67">
        <v>2026</v>
      </c>
      <c r="I13" s="7">
        <v>16.7</v>
      </c>
      <c r="J13" s="30">
        <v>39.56</v>
      </c>
      <c r="K13" s="7">
        <v>100</v>
      </c>
      <c r="L13" s="53" t="s">
        <v>156</v>
      </c>
      <c r="M13" s="53" t="s">
        <v>147</v>
      </c>
      <c r="N13" s="7" t="s">
        <v>133</v>
      </c>
      <c r="O13" s="7" t="s">
        <v>147</v>
      </c>
      <c r="P13" s="69">
        <v>46234</v>
      </c>
      <c r="Q13" s="20">
        <v>46241</v>
      </c>
      <c r="R13" s="53" t="s">
        <v>71</v>
      </c>
      <c r="S13" s="36" t="s">
        <v>157</v>
      </c>
      <c r="T13" s="44" t="s">
        <v>154</v>
      </c>
    </row>
    <row r="14" spans="1:23" ht="21.6" x14ac:dyDescent="0.3">
      <c r="A14" s="75" t="s">
        <v>5</v>
      </c>
      <c r="B14" s="47" t="s">
        <v>18</v>
      </c>
      <c r="C14" s="70" t="s">
        <v>21</v>
      </c>
      <c r="D14" s="70" t="s">
        <v>9</v>
      </c>
      <c r="E14" s="73" t="s">
        <v>60</v>
      </c>
      <c r="F14" s="27" t="s">
        <v>66</v>
      </c>
      <c r="G14" s="23" t="s">
        <v>66</v>
      </c>
      <c r="H14" s="66">
        <v>2027</v>
      </c>
      <c r="I14" s="7" t="s">
        <v>66</v>
      </c>
      <c r="J14" s="7">
        <v>0</v>
      </c>
      <c r="K14" s="7" t="s">
        <v>66</v>
      </c>
      <c r="L14" s="53" t="s">
        <v>130</v>
      </c>
      <c r="M14" s="53" t="s">
        <v>66</v>
      </c>
      <c r="N14" s="7" t="s">
        <v>142</v>
      </c>
      <c r="O14" s="7" t="s">
        <v>66</v>
      </c>
      <c r="P14" s="19">
        <v>46361</v>
      </c>
      <c r="Q14" s="19">
        <v>46368</v>
      </c>
      <c r="R14" s="48" t="s">
        <v>158</v>
      </c>
      <c r="S14" s="36" t="s">
        <v>101</v>
      </c>
      <c r="T14" s="44" t="s">
        <v>153</v>
      </c>
    </row>
    <row r="15" spans="1:23" s="2" customFormat="1" x14ac:dyDescent="0.3">
      <c r="A15" s="75" t="s">
        <v>5</v>
      </c>
      <c r="B15" s="47" t="s">
        <v>22</v>
      </c>
      <c r="C15" s="7" t="s">
        <v>23</v>
      </c>
      <c r="D15" s="7" t="s">
        <v>9</v>
      </c>
      <c r="E15" s="8" t="s">
        <v>73</v>
      </c>
      <c r="F15" s="27">
        <v>0.27500000000000002</v>
      </c>
      <c r="G15" s="23">
        <v>0.6</v>
      </c>
      <c r="H15" s="66">
        <v>2026</v>
      </c>
      <c r="I15" s="7">
        <v>41.4</v>
      </c>
      <c r="J15" s="33">
        <v>0</v>
      </c>
      <c r="K15" s="7" t="s">
        <v>66</v>
      </c>
      <c r="L15" s="53" t="s">
        <v>141</v>
      </c>
      <c r="M15" s="53" t="s">
        <v>147</v>
      </c>
      <c r="N15" s="7" t="s">
        <v>142</v>
      </c>
      <c r="O15" s="7" t="s">
        <v>147</v>
      </c>
      <c r="P15" s="7" t="s">
        <v>64</v>
      </c>
      <c r="Q15" s="7" t="s">
        <v>64</v>
      </c>
      <c r="R15" s="53" t="s">
        <v>71</v>
      </c>
      <c r="S15" s="36" t="s">
        <v>150</v>
      </c>
      <c r="T15" s="44" t="s">
        <v>152</v>
      </c>
      <c r="W15"/>
    </row>
    <row r="16" spans="1:23" s="2" customFormat="1" x14ac:dyDescent="0.3">
      <c r="A16" s="75" t="s">
        <v>5</v>
      </c>
      <c r="B16" s="47" t="s">
        <v>22</v>
      </c>
      <c r="C16" s="93" t="s">
        <v>24</v>
      </c>
      <c r="D16" s="7" t="s">
        <v>9</v>
      </c>
      <c r="E16" s="8" t="s">
        <v>159</v>
      </c>
      <c r="F16" s="27">
        <v>0.25</v>
      </c>
      <c r="G16" s="23"/>
      <c r="H16" s="66">
        <v>2026</v>
      </c>
      <c r="I16" s="70"/>
      <c r="J16" s="33">
        <v>0</v>
      </c>
      <c r="K16" s="70"/>
      <c r="L16" s="53" t="s">
        <v>130</v>
      </c>
      <c r="M16" s="53" t="s">
        <v>147</v>
      </c>
      <c r="N16" s="7" t="s">
        <v>160</v>
      </c>
      <c r="O16" s="7" t="s">
        <v>71</v>
      </c>
      <c r="P16" s="7" t="s">
        <v>65</v>
      </c>
      <c r="Q16" s="20" t="s">
        <v>65</v>
      </c>
      <c r="R16" s="59" t="s">
        <v>71</v>
      </c>
      <c r="S16" s="36" t="s">
        <v>102</v>
      </c>
      <c r="T16" s="44" t="s">
        <v>152</v>
      </c>
      <c r="W16"/>
    </row>
    <row r="17" spans="1:23" s="2" customFormat="1" x14ac:dyDescent="0.3">
      <c r="A17" s="75" t="s">
        <v>5</v>
      </c>
      <c r="B17" s="47" t="s">
        <v>22</v>
      </c>
      <c r="C17" s="93"/>
      <c r="D17" s="7" t="s">
        <v>9</v>
      </c>
      <c r="E17" s="8" t="s">
        <v>161</v>
      </c>
      <c r="F17" s="27">
        <v>0.36</v>
      </c>
      <c r="G17" s="23">
        <v>1.4</v>
      </c>
      <c r="H17" s="66">
        <v>2026</v>
      </c>
      <c r="I17" s="7"/>
      <c r="J17" s="33">
        <v>0</v>
      </c>
      <c r="K17" s="7">
        <v>113</v>
      </c>
      <c r="L17" s="53" t="s">
        <v>130</v>
      </c>
      <c r="M17" s="53" t="s">
        <v>147</v>
      </c>
      <c r="N17" s="7" t="s">
        <v>160</v>
      </c>
      <c r="O17" s="7" t="s">
        <v>147</v>
      </c>
      <c r="P17" s="21" t="s">
        <v>63</v>
      </c>
      <c r="Q17" s="20">
        <v>46154</v>
      </c>
      <c r="R17" s="59"/>
      <c r="S17" s="36" t="s">
        <v>103</v>
      </c>
      <c r="T17" s="44" t="s">
        <v>152</v>
      </c>
      <c r="W17"/>
    </row>
    <row r="18" spans="1:23" s="2" customFormat="1" x14ac:dyDescent="0.3">
      <c r="A18" s="75" t="s">
        <v>5</v>
      </c>
      <c r="B18" s="47" t="s">
        <v>22</v>
      </c>
      <c r="C18" s="93"/>
      <c r="D18" s="7" t="s">
        <v>9</v>
      </c>
      <c r="E18" s="8" t="s">
        <v>25</v>
      </c>
      <c r="F18" s="27">
        <v>0.6</v>
      </c>
      <c r="G18" s="23" t="s">
        <v>66</v>
      </c>
      <c r="H18" s="66">
        <v>2026</v>
      </c>
      <c r="I18" s="7"/>
      <c r="J18" s="33">
        <v>0</v>
      </c>
      <c r="K18" s="7" t="s">
        <v>71</v>
      </c>
      <c r="L18" s="53" t="s">
        <v>162</v>
      </c>
      <c r="M18" s="53" t="s">
        <v>147</v>
      </c>
      <c r="N18" s="7" t="s">
        <v>160</v>
      </c>
      <c r="O18" s="7" t="s">
        <v>71</v>
      </c>
      <c r="P18" s="19"/>
      <c r="Q18" s="7" t="s">
        <v>67</v>
      </c>
      <c r="R18" s="53" t="s">
        <v>71</v>
      </c>
      <c r="S18" s="36" t="s">
        <v>105</v>
      </c>
      <c r="T18" s="44" t="s">
        <v>152</v>
      </c>
      <c r="W18"/>
    </row>
    <row r="19" spans="1:23" s="2" customFormat="1" ht="40.799999999999997" x14ac:dyDescent="0.3">
      <c r="A19" s="75" t="s">
        <v>5</v>
      </c>
      <c r="B19" s="47" t="s">
        <v>22</v>
      </c>
      <c r="C19" s="7" t="s">
        <v>26</v>
      </c>
      <c r="D19" s="7" t="s">
        <v>9</v>
      </c>
      <c r="E19" s="8" t="s">
        <v>27</v>
      </c>
      <c r="F19" s="27">
        <v>0.25</v>
      </c>
      <c r="G19" s="79" t="s">
        <v>66</v>
      </c>
      <c r="H19" s="80">
        <v>2026</v>
      </c>
      <c r="I19" s="7"/>
      <c r="J19" s="30">
        <v>89</v>
      </c>
      <c r="K19" s="34">
        <v>294</v>
      </c>
      <c r="L19" s="55" t="s">
        <v>130</v>
      </c>
      <c r="M19" s="55" t="s">
        <v>147</v>
      </c>
      <c r="N19" s="34" t="s">
        <v>160</v>
      </c>
      <c r="O19" s="55" t="s">
        <v>165</v>
      </c>
      <c r="P19" s="7" t="s">
        <v>68</v>
      </c>
      <c r="Q19" s="7" t="s">
        <v>69</v>
      </c>
      <c r="R19" s="53" t="s">
        <v>164</v>
      </c>
      <c r="S19" s="36" t="s">
        <v>163</v>
      </c>
      <c r="T19" s="44" t="s">
        <v>154</v>
      </c>
      <c r="W19"/>
    </row>
    <row r="20" spans="1:23" s="87" customFormat="1" ht="20.399999999999999" x14ac:dyDescent="0.3">
      <c r="A20" s="76" t="s">
        <v>5</v>
      </c>
      <c r="B20" s="77" t="s">
        <v>22</v>
      </c>
      <c r="C20" s="70" t="s">
        <v>90</v>
      </c>
      <c r="D20" s="70" t="s">
        <v>36</v>
      </c>
      <c r="E20" s="73" t="s">
        <v>91</v>
      </c>
      <c r="F20" s="78" t="s">
        <v>66</v>
      </c>
      <c r="G20" s="79" t="s">
        <v>66</v>
      </c>
      <c r="H20" s="80">
        <v>2027</v>
      </c>
      <c r="I20" s="70" t="s">
        <v>66</v>
      </c>
      <c r="J20" s="81" t="s">
        <v>66</v>
      </c>
      <c r="K20" s="82" t="s">
        <v>66</v>
      </c>
      <c r="L20" s="83" t="s">
        <v>130</v>
      </c>
      <c r="M20" s="83" t="s">
        <v>66</v>
      </c>
      <c r="N20" s="82" t="s">
        <v>142</v>
      </c>
      <c r="O20" s="82" t="s">
        <v>66</v>
      </c>
      <c r="P20" s="70" t="s">
        <v>66</v>
      </c>
      <c r="Q20" s="70" t="s">
        <v>66</v>
      </c>
      <c r="R20" s="84" t="s">
        <v>66</v>
      </c>
      <c r="S20" s="85" t="s">
        <v>94</v>
      </c>
      <c r="T20" s="86" t="s">
        <v>66</v>
      </c>
      <c r="W20" s="88"/>
    </row>
    <row r="21" spans="1:23" s="2" customFormat="1" ht="71.400000000000006" x14ac:dyDescent="0.3">
      <c r="A21" s="75" t="s">
        <v>5</v>
      </c>
      <c r="B21" s="47" t="s">
        <v>28</v>
      </c>
      <c r="C21" s="7" t="s">
        <v>29</v>
      </c>
      <c r="D21" s="7" t="s">
        <v>9</v>
      </c>
      <c r="E21" s="8" t="s">
        <v>30</v>
      </c>
      <c r="F21" s="27">
        <v>0.622</v>
      </c>
      <c r="G21" s="25">
        <v>3</v>
      </c>
      <c r="H21" s="67">
        <v>2026</v>
      </c>
      <c r="I21" s="17"/>
      <c r="J21" s="31">
        <v>0</v>
      </c>
      <c r="K21" s="7" t="s">
        <v>66</v>
      </c>
      <c r="L21" s="53" t="s">
        <v>166</v>
      </c>
      <c r="M21" s="53" t="s">
        <v>167</v>
      </c>
      <c r="N21" s="7" t="s">
        <v>142</v>
      </c>
      <c r="O21" s="7" t="s">
        <v>147</v>
      </c>
      <c r="P21" s="7" t="s">
        <v>67</v>
      </c>
      <c r="Q21" s="7" t="s">
        <v>68</v>
      </c>
      <c r="R21" s="53" t="s">
        <v>168</v>
      </c>
      <c r="S21" s="36" t="s">
        <v>169</v>
      </c>
      <c r="T21" s="44" t="s">
        <v>154</v>
      </c>
      <c r="W21"/>
    </row>
    <row r="22" spans="1:23" s="2" customFormat="1" x14ac:dyDescent="0.3">
      <c r="A22" s="75" t="s">
        <v>5</v>
      </c>
      <c r="B22" s="74" t="s">
        <v>28</v>
      </c>
      <c r="C22" s="7" t="s">
        <v>31</v>
      </c>
      <c r="D22" s="7" t="s">
        <v>9</v>
      </c>
      <c r="E22" s="8" t="s">
        <v>32</v>
      </c>
      <c r="F22" s="27">
        <v>0.68799999999999994</v>
      </c>
      <c r="G22" s="23">
        <v>0.4</v>
      </c>
      <c r="H22" s="66">
        <v>2026</v>
      </c>
      <c r="I22" s="7">
        <v>7.1</v>
      </c>
      <c r="J22" s="30">
        <v>63.040000000000006</v>
      </c>
      <c r="K22" s="34">
        <f>J22/8*12</f>
        <v>94.56</v>
      </c>
      <c r="L22" s="55" t="s">
        <v>130</v>
      </c>
      <c r="M22" s="55" t="s">
        <v>147</v>
      </c>
      <c r="N22" s="34" t="s">
        <v>142</v>
      </c>
      <c r="O22" s="34" t="s">
        <v>147</v>
      </c>
      <c r="P22" s="7" t="s">
        <v>74</v>
      </c>
      <c r="Q22" s="7" t="s">
        <v>74</v>
      </c>
      <c r="R22" s="53" t="s">
        <v>170</v>
      </c>
      <c r="S22" s="35" t="s">
        <v>171</v>
      </c>
      <c r="T22" s="44" t="s">
        <v>152</v>
      </c>
      <c r="W22"/>
    </row>
    <row r="23" spans="1:23" s="87" customFormat="1" ht="51" x14ac:dyDescent="0.3">
      <c r="A23" s="76" t="s">
        <v>5</v>
      </c>
      <c r="B23" s="89" t="s">
        <v>28</v>
      </c>
      <c r="C23" s="70" t="s">
        <v>92</v>
      </c>
      <c r="D23" s="70" t="s">
        <v>9</v>
      </c>
      <c r="E23" s="73" t="s">
        <v>93</v>
      </c>
      <c r="F23" s="78" t="s">
        <v>66</v>
      </c>
      <c r="G23" s="78" t="s">
        <v>66</v>
      </c>
      <c r="H23" s="80">
        <v>2027</v>
      </c>
      <c r="I23" s="78" t="s">
        <v>66</v>
      </c>
      <c r="J23" s="78" t="s">
        <v>66</v>
      </c>
      <c r="K23" s="78" t="s">
        <v>66</v>
      </c>
      <c r="L23" s="90" t="s">
        <v>172</v>
      </c>
      <c r="M23" s="90" t="s">
        <v>66</v>
      </c>
      <c r="N23" s="78" t="s">
        <v>173</v>
      </c>
      <c r="O23" s="78" t="s">
        <v>66</v>
      </c>
      <c r="P23" s="78" t="s">
        <v>66</v>
      </c>
      <c r="Q23" s="78" t="s">
        <v>66</v>
      </c>
      <c r="R23" s="90" t="s">
        <v>174</v>
      </c>
      <c r="S23" s="91" t="s">
        <v>108</v>
      </c>
      <c r="T23" s="86" t="s">
        <v>66</v>
      </c>
      <c r="W23" s="88"/>
    </row>
    <row r="24" spans="1:23" s="2" customFormat="1" x14ac:dyDescent="0.3">
      <c r="A24" s="75" t="s">
        <v>119</v>
      </c>
      <c r="B24" s="75" t="s">
        <v>34</v>
      </c>
      <c r="C24" s="7" t="s">
        <v>175</v>
      </c>
      <c r="D24" s="7" t="s">
        <v>9</v>
      </c>
      <c r="E24" s="8" t="s">
        <v>176</v>
      </c>
      <c r="F24" s="27">
        <v>0.436</v>
      </c>
      <c r="G24" s="23">
        <v>0.50244813616135531</v>
      </c>
      <c r="H24" s="66">
        <v>2026</v>
      </c>
      <c r="I24" s="7">
        <v>10.83</v>
      </c>
      <c r="J24" s="30" t="s">
        <v>66</v>
      </c>
      <c r="K24" s="7">
        <v>42</v>
      </c>
      <c r="L24" s="53" t="s">
        <v>199</v>
      </c>
      <c r="M24" s="53" t="s">
        <v>147</v>
      </c>
      <c r="N24" s="7" t="s">
        <v>142</v>
      </c>
      <c r="O24" s="7" t="s">
        <v>147</v>
      </c>
      <c r="P24" s="20">
        <v>46201</v>
      </c>
      <c r="Q24" s="20">
        <v>46208</v>
      </c>
      <c r="R24" s="59" t="s">
        <v>71</v>
      </c>
      <c r="S24" s="35" t="s">
        <v>33</v>
      </c>
      <c r="T24" s="44" t="s">
        <v>152</v>
      </c>
      <c r="W24"/>
    </row>
    <row r="25" spans="1:23" s="2" customFormat="1" x14ac:dyDescent="0.3">
      <c r="A25" s="75" t="s">
        <v>119</v>
      </c>
      <c r="B25" s="75" t="s">
        <v>34</v>
      </c>
      <c r="C25" s="7" t="s">
        <v>177</v>
      </c>
      <c r="D25" s="7" t="s">
        <v>9</v>
      </c>
      <c r="E25" s="8" t="s">
        <v>180</v>
      </c>
      <c r="F25" s="27">
        <v>0.56485274572987487</v>
      </c>
      <c r="G25" s="23">
        <v>1.3241492358315312</v>
      </c>
      <c r="H25" s="66">
        <v>2026</v>
      </c>
      <c r="I25" s="7">
        <v>1.5</v>
      </c>
      <c r="J25" s="30" t="s">
        <v>66</v>
      </c>
      <c r="K25" s="7">
        <v>32</v>
      </c>
      <c r="L25" s="53" t="s">
        <v>199</v>
      </c>
      <c r="M25" s="53" t="s">
        <v>66</v>
      </c>
      <c r="N25" s="7" t="s">
        <v>133</v>
      </c>
      <c r="O25" s="7" t="s">
        <v>178</v>
      </c>
      <c r="P25" s="20" t="s">
        <v>66</v>
      </c>
      <c r="Q25" s="7" t="s">
        <v>66</v>
      </c>
      <c r="R25" s="53" t="s">
        <v>179</v>
      </c>
      <c r="S25" s="35" t="s">
        <v>110</v>
      </c>
      <c r="T25" s="44" t="s">
        <v>135</v>
      </c>
      <c r="W25"/>
    </row>
    <row r="26" spans="1:23" s="2" customFormat="1" ht="20.399999999999999" x14ac:dyDescent="0.3">
      <c r="A26" s="75" t="s">
        <v>119</v>
      </c>
      <c r="B26" s="75" t="s">
        <v>34</v>
      </c>
      <c r="C26" s="7" t="s">
        <v>35</v>
      </c>
      <c r="D26" s="7" t="s">
        <v>36</v>
      </c>
      <c r="E26" s="8" t="s">
        <v>37</v>
      </c>
      <c r="F26" s="13">
        <v>0.60193787214130656</v>
      </c>
      <c r="G26" s="23">
        <v>0.41757127928727816</v>
      </c>
      <c r="H26" s="66">
        <v>2026</v>
      </c>
      <c r="I26" s="17"/>
      <c r="J26" s="30" t="s">
        <v>66</v>
      </c>
      <c r="K26" s="7">
        <v>23</v>
      </c>
      <c r="L26" s="53" t="s">
        <v>199</v>
      </c>
      <c r="M26" s="53" t="s">
        <v>181</v>
      </c>
      <c r="N26" s="7" t="s">
        <v>142</v>
      </c>
      <c r="O26" s="7" t="s">
        <v>183</v>
      </c>
      <c r="P26" s="20">
        <v>46340</v>
      </c>
      <c r="Q26" s="20">
        <v>46374</v>
      </c>
      <c r="R26" s="60" t="s">
        <v>71</v>
      </c>
      <c r="S26" s="35" t="s">
        <v>184</v>
      </c>
      <c r="T26" s="44" t="s">
        <v>135</v>
      </c>
      <c r="W26"/>
    </row>
    <row r="27" spans="1:23" s="2" customFormat="1" ht="21.6" x14ac:dyDescent="0.3">
      <c r="A27" s="75" t="s">
        <v>119</v>
      </c>
      <c r="B27" s="75" t="s">
        <v>34</v>
      </c>
      <c r="C27" s="7" t="s">
        <v>185</v>
      </c>
      <c r="D27" s="7" t="s">
        <v>36</v>
      </c>
      <c r="E27" s="8" t="s">
        <v>76</v>
      </c>
      <c r="F27" s="13">
        <v>0.28773544143220309</v>
      </c>
      <c r="G27" s="23" t="s">
        <v>66</v>
      </c>
      <c r="H27" s="66">
        <v>2027</v>
      </c>
      <c r="I27" s="17" t="s">
        <v>66</v>
      </c>
      <c r="J27" s="31"/>
      <c r="K27" s="7">
        <v>44</v>
      </c>
      <c r="L27" s="53" t="s">
        <v>141</v>
      </c>
      <c r="M27" s="53" t="s">
        <v>66</v>
      </c>
      <c r="N27" s="7" t="s">
        <v>186</v>
      </c>
      <c r="O27" s="7" t="s">
        <v>66</v>
      </c>
      <c r="P27" s="21" t="s">
        <v>66</v>
      </c>
      <c r="Q27" s="7" t="s">
        <v>66</v>
      </c>
      <c r="R27" s="53" t="s">
        <v>187</v>
      </c>
      <c r="S27" s="45" t="s">
        <v>111</v>
      </c>
      <c r="T27" s="44" t="s">
        <v>66</v>
      </c>
      <c r="W27"/>
    </row>
    <row r="28" spans="1:23" s="87" customFormat="1" x14ac:dyDescent="0.3">
      <c r="A28" s="76" t="s">
        <v>119</v>
      </c>
      <c r="B28" s="76" t="s">
        <v>34</v>
      </c>
      <c r="C28" s="70" t="s">
        <v>38</v>
      </c>
      <c r="D28" s="70" t="s">
        <v>36</v>
      </c>
      <c r="E28" s="92" t="s">
        <v>70</v>
      </c>
      <c r="F28" s="78" t="s">
        <v>66</v>
      </c>
      <c r="G28" s="78" t="s">
        <v>66</v>
      </c>
      <c r="H28" s="66">
        <v>2027</v>
      </c>
      <c r="I28" s="78" t="s">
        <v>66</v>
      </c>
      <c r="J28" s="78" t="s">
        <v>66</v>
      </c>
      <c r="K28" s="78" t="s">
        <v>66</v>
      </c>
      <c r="L28" s="90" t="s">
        <v>199</v>
      </c>
      <c r="M28" s="90" t="s">
        <v>66</v>
      </c>
      <c r="N28" s="78" t="s">
        <v>142</v>
      </c>
      <c r="O28" s="78" t="s">
        <v>66</v>
      </c>
      <c r="P28" s="78" t="s">
        <v>66</v>
      </c>
      <c r="Q28" s="78" t="s">
        <v>66</v>
      </c>
      <c r="R28" s="90" t="s">
        <v>66</v>
      </c>
      <c r="S28" s="90" t="s">
        <v>66</v>
      </c>
      <c r="T28" s="86" t="s">
        <v>66</v>
      </c>
      <c r="W28" s="88"/>
    </row>
    <row r="29" spans="1:23" s="87" customFormat="1" x14ac:dyDescent="0.3">
      <c r="A29" s="76" t="s">
        <v>119</v>
      </c>
      <c r="B29" s="76" t="s">
        <v>34</v>
      </c>
      <c r="C29" s="70" t="s">
        <v>112</v>
      </c>
      <c r="D29" s="70" t="s">
        <v>9</v>
      </c>
      <c r="E29" s="73" t="s">
        <v>188</v>
      </c>
      <c r="F29" s="78" t="s">
        <v>66</v>
      </c>
      <c r="G29" s="78" t="s">
        <v>66</v>
      </c>
      <c r="H29" s="66">
        <v>2027</v>
      </c>
      <c r="I29" s="78" t="s">
        <v>66</v>
      </c>
      <c r="J29" s="78" t="s">
        <v>66</v>
      </c>
      <c r="K29" s="70">
        <v>40</v>
      </c>
      <c r="L29" s="84" t="s">
        <v>197</v>
      </c>
      <c r="M29" s="84" t="s">
        <v>66</v>
      </c>
      <c r="N29" s="70" t="s">
        <v>133</v>
      </c>
      <c r="O29" s="70" t="s">
        <v>66</v>
      </c>
      <c r="P29" s="78" t="s">
        <v>66</v>
      </c>
      <c r="Q29" s="78" t="s">
        <v>66</v>
      </c>
      <c r="R29" s="90" t="s">
        <v>66</v>
      </c>
      <c r="S29" s="91" t="s">
        <v>75</v>
      </c>
      <c r="T29" s="86" t="s">
        <v>66</v>
      </c>
      <c r="W29" s="88"/>
    </row>
    <row r="30" spans="1:23" s="2" customFormat="1" x14ac:dyDescent="0.3">
      <c r="A30" s="75" t="s">
        <v>119</v>
      </c>
      <c r="B30" s="75" t="s">
        <v>34</v>
      </c>
      <c r="C30" s="7" t="s">
        <v>39</v>
      </c>
      <c r="D30" s="7" t="s">
        <v>36</v>
      </c>
      <c r="E30" s="8" t="s">
        <v>40</v>
      </c>
      <c r="F30" s="27">
        <v>0.499</v>
      </c>
      <c r="G30" s="23">
        <v>0.5</v>
      </c>
      <c r="H30" s="66">
        <v>2026</v>
      </c>
      <c r="I30" s="7"/>
      <c r="J30" s="30">
        <v>5</v>
      </c>
      <c r="K30" s="7">
        <v>9</v>
      </c>
      <c r="L30" s="53" t="s">
        <v>182</v>
      </c>
      <c r="M30" s="53" t="s">
        <v>189</v>
      </c>
      <c r="N30" s="7" t="s">
        <v>133</v>
      </c>
      <c r="O30" s="7" t="s">
        <v>147</v>
      </c>
      <c r="P30" s="20">
        <v>46263</v>
      </c>
      <c r="Q30" s="20">
        <v>46284</v>
      </c>
      <c r="R30" s="59" t="s">
        <v>190</v>
      </c>
      <c r="S30" s="35" t="s">
        <v>113</v>
      </c>
      <c r="T30" s="44" t="s">
        <v>135</v>
      </c>
      <c r="W30"/>
    </row>
    <row r="31" spans="1:23" s="2" customFormat="1" ht="30.6" x14ac:dyDescent="0.3">
      <c r="A31" s="75" t="s">
        <v>119</v>
      </c>
      <c r="B31" s="75" t="s">
        <v>41</v>
      </c>
      <c r="C31" s="7" t="s">
        <v>42</v>
      </c>
      <c r="D31" s="7" t="s">
        <v>9</v>
      </c>
      <c r="E31" s="8" t="s">
        <v>43</v>
      </c>
      <c r="F31" s="27">
        <v>0.59799999999999998</v>
      </c>
      <c r="G31" s="23">
        <v>1.5191315631230811</v>
      </c>
      <c r="H31" s="66">
        <v>2026</v>
      </c>
      <c r="I31" s="7"/>
      <c r="J31" s="30">
        <v>74</v>
      </c>
      <c r="K31" s="7">
        <v>79</v>
      </c>
      <c r="L31" s="53" t="s">
        <v>198</v>
      </c>
      <c r="M31" s="53" t="s">
        <v>191</v>
      </c>
      <c r="N31" s="7" t="s">
        <v>142</v>
      </c>
      <c r="O31" s="7" t="s">
        <v>147</v>
      </c>
      <c r="P31" s="20">
        <v>46305</v>
      </c>
      <c r="Q31" s="20">
        <v>46322</v>
      </c>
      <c r="R31" s="59" t="s">
        <v>192</v>
      </c>
      <c r="S31" s="35" t="s">
        <v>114</v>
      </c>
      <c r="T31" s="44" t="s">
        <v>135</v>
      </c>
      <c r="W31"/>
    </row>
    <row r="32" spans="1:23" s="2" customFormat="1" ht="51" x14ac:dyDescent="0.3">
      <c r="A32" s="75" t="s">
        <v>119</v>
      </c>
      <c r="B32" s="75" t="s">
        <v>41</v>
      </c>
      <c r="C32" s="70" t="s">
        <v>44</v>
      </c>
      <c r="D32" s="70" t="s">
        <v>9</v>
      </c>
      <c r="E32" s="73" t="s">
        <v>45</v>
      </c>
      <c r="F32" s="27">
        <v>0.59742093066182345</v>
      </c>
      <c r="G32" s="23">
        <v>1.5085597445838146</v>
      </c>
      <c r="H32" s="66">
        <v>2027</v>
      </c>
      <c r="I32" s="7"/>
      <c r="J32" s="30" t="s">
        <v>66</v>
      </c>
      <c r="K32" s="7">
        <v>209</v>
      </c>
      <c r="L32" s="53" t="s">
        <v>197</v>
      </c>
      <c r="M32" s="53" t="s">
        <v>193</v>
      </c>
      <c r="N32" s="7" t="s">
        <v>142</v>
      </c>
      <c r="O32" s="7" t="s">
        <v>194</v>
      </c>
      <c r="P32" s="20">
        <v>46570</v>
      </c>
      <c r="Q32" s="20">
        <v>46605</v>
      </c>
      <c r="R32" s="59" t="s">
        <v>71</v>
      </c>
      <c r="S32" s="35" t="s">
        <v>115</v>
      </c>
      <c r="T32" s="44" t="s">
        <v>153</v>
      </c>
      <c r="W32"/>
    </row>
    <row r="33" spans="1:23" s="2" customFormat="1" ht="21.6" x14ac:dyDescent="0.3">
      <c r="A33" s="75" t="s">
        <v>119</v>
      </c>
      <c r="B33" s="75" t="s">
        <v>41</v>
      </c>
      <c r="C33" s="70" t="s">
        <v>46</v>
      </c>
      <c r="D33" s="70" t="s">
        <v>9</v>
      </c>
      <c r="E33" s="73" t="s">
        <v>47</v>
      </c>
      <c r="F33" s="27" t="s">
        <v>66</v>
      </c>
      <c r="G33" s="23" t="s">
        <v>66</v>
      </c>
      <c r="H33" s="66">
        <v>2027</v>
      </c>
      <c r="I33" s="7" t="s">
        <v>66</v>
      </c>
      <c r="J33" s="30" t="s">
        <v>66</v>
      </c>
      <c r="K33" s="7">
        <v>32</v>
      </c>
      <c r="L33" s="53" t="s">
        <v>182</v>
      </c>
      <c r="M33" s="53" t="s">
        <v>66</v>
      </c>
      <c r="N33" s="53" t="s">
        <v>66</v>
      </c>
      <c r="O33" s="53" t="s">
        <v>66</v>
      </c>
      <c r="P33" s="7" t="s">
        <v>77</v>
      </c>
      <c r="Q33" s="7" t="s">
        <v>77</v>
      </c>
      <c r="R33" s="53" t="s">
        <v>195</v>
      </c>
      <c r="S33" s="43" t="s">
        <v>116</v>
      </c>
      <c r="T33" s="44" t="s">
        <v>153</v>
      </c>
      <c r="W33"/>
    </row>
    <row r="34" spans="1:23" s="2" customFormat="1" ht="20.399999999999999" x14ac:dyDescent="0.3">
      <c r="A34" s="75" t="s">
        <v>119</v>
      </c>
      <c r="B34" s="75" t="s">
        <v>48</v>
      </c>
      <c r="C34" s="70" t="s">
        <v>49</v>
      </c>
      <c r="D34" s="70" t="s">
        <v>9</v>
      </c>
      <c r="E34" s="73" t="s">
        <v>50</v>
      </c>
      <c r="F34" s="13">
        <v>0.6024154888486889</v>
      </c>
      <c r="G34" s="23">
        <v>1.0113823729565576</v>
      </c>
      <c r="H34" s="66">
        <v>2027</v>
      </c>
      <c r="I34" s="7"/>
      <c r="J34" s="30" t="s">
        <v>66</v>
      </c>
      <c r="K34" s="7"/>
      <c r="L34" s="53" t="s">
        <v>196</v>
      </c>
      <c r="M34" s="53" t="s">
        <v>181</v>
      </c>
      <c r="N34" s="7" t="s">
        <v>142</v>
      </c>
      <c r="O34" s="7" t="s">
        <v>200</v>
      </c>
      <c r="P34" s="7" t="s">
        <v>78</v>
      </c>
      <c r="Q34" s="7" t="s">
        <v>78</v>
      </c>
      <c r="R34" s="53" t="s">
        <v>201</v>
      </c>
      <c r="S34" s="35" t="s">
        <v>117</v>
      </c>
      <c r="T34" s="44" t="s">
        <v>153</v>
      </c>
      <c r="W34"/>
    </row>
    <row r="35" spans="1:23" s="2" customFormat="1" x14ac:dyDescent="0.3">
      <c r="A35" s="75" t="s">
        <v>119</v>
      </c>
      <c r="B35" s="75" t="s">
        <v>48</v>
      </c>
      <c r="C35" s="70" t="s">
        <v>51</v>
      </c>
      <c r="D35" s="70" t="s">
        <v>36</v>
      </c>
      <c r="E35" s="73" t="s">
        <v>52</v>
      </c>
      <c r="F35" s="13">
        <v>0.53066328984122335</v>
      </c>
      <c r="G35" s="23">
        <v>0.64731923605431196</v>
      </c>
      <c r="H35" s="66">
        <v>2026</v>
      </c>
      <c r="I35" s="7"/>
      <c r="J35" s="30">
        <v>40</v>
      </c>
      <c r="K35" s="7">
        <v>60</v>
      </c>
      <c r="L35" s="53" t="s">
        <v>199</v>
      </c>
      <c r="M35" s="53"/>
      <c r="N35" s="7" t="s">
        <v>142</v>
      </c>
      <c r="O35" s="7" t="s">
        <v>147</v>
      </c>
      <c r="P35" s="7" t="s">
        <v>79</v>
      </c>
      <c r="Q35" s="7" t="s">
        <v>79</v>
      </c>
      <c r="R35" s="53"/>
      <c r="S35" s="35" t="s">
        <v>33</v>
      </c>
      <c r="T35" s="44" t="s">
        <v>152</v>
      </c>
      <c r="W35"/>
    </row>
    <row r="36" spans="1:23" s="2" customFormat="1" x14ac:dyDescent="0.3">
      <c r="A36" s="75" t="s">
        <v>119</v>
      </c>
      <c r="B36" s="75" t="s">
        <v>48</v>
      </c>
      <c r="C36" s="7" t="s">
        <v>53</v>
      </c>
      <c r="D36" s="7" t="s">
        <v>9</v>
      </c>
      <c r="E36" s="8" t="s">
        <v>54</v>
      </c>
      <c r="F36" s="13">
        <v>0.40820185494634986</v>
      </c>
      <c r="G36" s="23">
        <v>0.28224793785376323</v>
      </c>
      <c r="H36" s="66">
        <v>2026</v>
      </c>
      <c r="I36" s="7"/>
      <c r="J36" s="30">
        <v>34</v>
      </c>
      <c r="K36" s="7">
        <v>50.9</v>
      </c>
      <c r="L36" s="53" t="s">
        <v>199</v>
      </c>
      <c r="M36" s="53"/>
      <c r="N36" s="7" t="s">
        <v>142</v>
      </c>
      <c r="O36" s="7" t="s">
        <v>147</v>
      </c>
      <c r="P36" s="7" t="s">
        <v>79</v>
      </c>
      <c r="Q36" s="7" t="s">
        <v>55</v>
      </c>
      <c r="R36" s="53"/>
      <c r="S36" s="35" t="s">
        <v>33</v>
      </c>
      <c r="T36" s="44"/>
      <c r="W36"/>
    </row>
    <row r="37" spans="1:23" s="2" customFormat="1" ht="21.6" x14ac:dyDescent="0.3">
      <c r="A37" s="75" t="s">
        <v>119</v>
      </c>
      <c r="B37" s="75" t="s">
        <v>48</v>
      </c>
      <c r="C37" s="9" t="s">
        <v>56</v>
      </c>
      <c r="D37" s="9" t="s">
        <v>36</v>
      </c>
      <c r="E37" s="11" t="s">
        <v>57</v>
      </c>
      <c r="F37" s="13" t="s">
        <v>71</v>
      </c>
      <c r="G37" s="26" t="s">
        <v>71</v>
      </c>
      <c r="H37" s="66">
        <v>2026</v>
      </c>
      <c r="I37" s="9"/>
      <c r="J37" s="32" t="s">
        <v>71</v>
      </c>
      <c r="K37" s="9" t="s">
        <v>80</v>
      </c>
      <c r="L37" s="56" t="s">
        <v>141</v>
      </c>
      <c r="M37" s="56"/>
      <c r="N37" s="9" t="s">
        <v>142</v>
      </c>
      <c r="O37" s="9"/>
      <c r="P37" s="22">
        <v>46241</v>
      </c>
      <c r="Q37" s="22">
        <v>46248</v>
      </c>
      <c r="R37" s="61"/>
      <c r="S37" s="46" t="s">
        <v>81</v>
      </c>
      <c r="T37" s="44" t="s">
        <v>152</v>
      </c>
      <c r="W37"/>
    </row>
    <row r="38" spans="1:23" s="2" customFormat="1" x14ac:dyDescent="0.3">
      <c r="A38" s="75" t="s">
        <v>119</v>
      </c>
      <c r="B38" s="75" t="s">
        <v>48</v>
      </c>
      <c r="C38" s="9" t="s">
        <v>58</v>
      </c>
      <c r="D38" s="9" t="s">
        <v>36</v>
      </c>
      <c r="E38" s="11" t="s">
        <v>59</v>
      </c>
      <c r="F38" s="13" t="s">
        <v>71</v>
      </c>
      <c r="G38" s="26" t="s">
        <v>71</v>
      </c>
      <c r="H38" s="66">
        <v>2026</v>
      </c>
      <c r="I38" s="9"/>
      <c r="J38" s="32" t="s">
        <v>71</v>
      </c>
      <c r="K38" s="9" t="s">
        <v>71</v>
      </c>
      <c r="L38" s="56" t="s">
        <v>141</v>
      </c>
      <c r="M38" s="56"/>
      <c r="N38" s="9" t="s">
        <v>142</v>
      </c>
      <c r="O38" s="9" t="s">
        <v>147</v>
      </c>
      <c r="P38" s="16" t="s">
        <v>71</v>
      </c>
      <c r="Q38" s="16" t="s">
        <v>71</v>
      </c>
      <c r="R38" s="62"/>
      <c r="S38" s="38" t="s">
        <v>33</v>
      </c>
      <c r="T38" s="44" t="s">
        <v>152</v>
      </c>
      <c r="W38"/>
    </row>
  </sheetData>
  <mergeCells count="1">
    <mergeCell ref="C16:C1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A5DBF72-A7B9-44B3-87CD-2EE0BF7B830F}">
          <x14:formula1>
            <xm:f>Sheet1!$A$1:$A$6</xm:f>
          </x14:formula1>
          <xm:sqref>T2:T38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1BA72-63D8-461A-8CD5-D946BF5A4CA9}">
  <dimension ref="A1:A6"/>
  <sheetViews>
    <sheetView workbookViewId="0"/>
  </sheetViews>
  <sheetFormatPr defaultRowHeight="14.4" x14ac:dyDescent="0.3"/>
  <sheetData>
    <row r="1" spans="1:1" x14ac:dyDescent="0.3">
      <c r="A1" t="s">
        <v>152</v>
      </c>
    </row>
    <row r="3" spans="1:1" x14ac:dyDescent="0.3">
      <c r="A3" t="s">
        <v>66</v>
      </c>
    </row>
    <row r="4" spans="1:1" x14ac:dyDescent="0.3">
      <c r="A4" t="s">
        <v>135</v>
      </c>
    </row>
    <row r="5" spans="1:1" x14ac:dyDescent="0.3">
      <c r="A5" t="s">
        <v>153</v>
      </c>
    </row>
    <row r="6" spans="1:1" x14ac:dyDescent="0.3">
      <c r="A6" t="s">
        <v>154</v>
      </c>
    </row>
  </sheetData>
  <pageMargins left="0.7" right="0.7" top="0.75" bottom="0.75" header="0.3" footer="0.3"/>
</worksheet>
</file>

<file path=docMetadata/LabelInfo.xml><?xml version="1.0" encoding="utf-8"?>
<clbl:labelList xmlns:clbl="http://schemas.microsoft.com/office/2020/mipLabelMetadata">
  <clbl:label id="{89db4e91-bad5-4fd0-9ca4-c06485916e3a}" enabled="1" method="Standard" siteId="{f66fae02-5d36-495b-bfe0-78a6ff9f8e6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Innovation Tracker Updated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Arham, Zia</dc:creator>
  <cp:keywords/>
  <dc:description/>
  <cp:lastModifiedBy>Muhammad Haris Shah</cp:lastModifiedBy>
  <cp:revision/>
  <dcterms:created xsi:type="dcterms:W3CDTF">2015-06-05T18:17:20Z</dcterms:created>
  <dcterms:modified xsi:type="dcterms:W3CDTF">2026-08-27T07:52:15Z</dcterms:modified>
  <cp:category/>
  <cp:contentStatus/>
</cp:coreProperties>
</file>